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Order Processing JLD\Formats\Export\"/>
    </mc:Choice>
  </mc:AlternateContent>
  <bookViews>
    <workbookView xWindow="120" yWindow="120" windowWidth="21492" windowHeight="9972" activeTab="1"/>
  </bookViews>
  <sheets>
    <sheet name="Tax Invoice" sheetId="3" r:id="rId1"/>
    <sheet name="Packing List" sheetId="5" r:id="rId2"/>
  </sheets>
  <calcPr calcId="162913"/>
</workbook>
</file>

<file path=xl/calcChain.xml><?xml version="1.0" encoding="utf-8"?>
<calcChain xmlns="http://schemas.openxmlformats.org/spreadsheetml/2006/main">
  <c r="A14" i="5" l="1"/>
  <c r="A13" i="5"/>
  <c r="C16" i="5"/>
  <c r="C15" i="5"/>
  <c r="C14" i="5"/>
  <c r="C13" i="5"/>
  <c r="G39" i="5"/>
  <c r="E29" i="3" s="1"/>
  <c r="G29" i="3" s="1"/>
  <c r="G39" i="3" l="1"/>
  <c r="G42" i="3" s="1"/>
</calcChain>
</file>

<file path=xl/sharedStrings.xml><?xml version="1.0" encoding="utf-8"?>
<sst xmlns="http://schemas.openxmlformats.org/spreadsheetml/2006/main" count="161" uniqueCount="115">
  <si>
    <t>IEC</t>
  </si>
  <si>
    <t>GSTIN No.</t>
  </si>
  <si>
    <t>Invoice No.</t>
  </si>
  <si>
    <t xml:space="preserve">Date </t>
  </si>
  <si>
    <t>1307011985</t>
  </si>
  <si>
    <t>08AAPPD4357A1ZX</t>
  </si>
  <si>
    <t>INDIA</t>
  </si>
  <si>
    <t>Marks &amp; Nos.</t>
  </si>
  <si>
    <t>No. &amp; King of Packages</t>
  </si>
  <si>
    <t>Description of Goods</t>
  </si>
  <si>
    <t xml:space="preserve">Quantity </t>
  </si>
  <si>
    <t>Rate Per</t>
  </si>
  <si>
    <t xml:space="preserve">Amount </t>
  </si>
  <si>
    <t>Mt.</t>
  </si>
  <si>
    <t xml:space="preserve"> </t>
  </si>
  <si>
    <t>Authorised Signatory</t>
  </si>
  <si>
    <t>Exporter/Manufacturer/Producer:</t>
  </si>
  <si>
    <t xml:space="preserve">JAICHAND LAL DAGA </t>
  </si>
  <si>
    <t>1ST FLOOR ,LABHUJI KA KATLA, KOTEGATE</t>
  </si>
  <si>
    <t>Buyer Order No. &amp; Date</t>
  </si>
  <si>
    <t xml:space="preserve">BIKANER-334 001(RAJASTHAN)  INDIA  </t>
  </si>
  <si>
    <t>Email: info@jldminerals.com</t>
  </si>
  <si>
    <t>Other Reference(s)</t>
  </si>
  <si>
    <t>T: 91-151-2220380/2230382  F: 91-151-2522768</t>
  </si>
  <si>
    <t>Consignee:</t>
  </si>
  <si>
    <t>Notify Applicant</t>
  </si>
  <si>
    <t>Pre-Carriage by  :</t>
  </si>
  <si>
    <t>Place of receipt by Pre-carrier:</t>
  </si>
  <si>
    <t>Country of Origin of Goods</t>
  </si>
  <si>
    <t>Country of Final Destination</t>
  </si>
  <si>
    <t>TRUCK</t>
  </si>
  <si>
    <t>Terms of Delivery and Payment</t>
  </si>
  <si>
    <t>Final Destination</t>
  </si>
  <si>
    <t>Commercial Invoice</t>
  </si>
  <si>
    <t>Packing List</t>
  </si>
  <si>
    <t>DECLARATION:</t>
  </si>
  <si>
    <t xml:space="preserve">This is certify that the goods are of Indian Origin their contents </t>
  </si>
  <si>
    <t xml:space="preserve">are true and authentic and current that it is the only packing </t>
  </si>
  <si>
    <t>list for the merchandise described therein.</t>
  </si>
  <si>
    <t>Authorised signatory</t>
  </si>
  <si>
    <t>ICICI Bank Limited</t>
  </si>
  <si>
    <t>670005019991</t>
  </si>
  <si>
    <t>ICIC0006700</t>
  </si>
  <si>
    <t>ICICINBBCTS</t>
  </si>
  <si>
    <t>NEPAL</t>
  </si>
  <si>
    <t>DOCUMENTRY CREDIT NUMBER : HBLIRIC05801794</t>
  </si>
  <si>
    <t>N/A</t>
  </si>
  <si>
    <t>Mt. (In INR)</t>
  </si>
  <si>
    <t>IN INR</t>
  </si>
  <si>
    <t>SUNSARI, NEPAL VIA BIRATNAGAR CUSTOMS OFFICE, NEPAL</t>
  </si>
  <si>
    <t>BIKANER (RAJASTHAN), INDIA</t>
  </si>
  <si>
    <t>COUNTRY OF ORIGIN:  INDIAN ORIGIN</t>
  </si>
  <si>
    <t>DATE OF ISSUE: 240306 (06 MARCH 2024)</t>
  </si>
  <si>
    <t>CUSTOMS ENTRY POINT IN NEPAL AS "BIRATNAGAR CUSTOMS OFFICE, NEPAL"</t>
  </si>
  <si>
    <t>Total Value INR</t>
  </si>
  <si>
    <t>Less Freight INR</t>
  </si>
  <si>
    <t>Less Insurance INR</t>
  </si>
  <si>
    <t>Final Assesable Value INR</t>
  </si>
  <si>
    <t>Beneficiary Name</t>
  </si>
  <si>
    <t>Account No.</t>
  </si>
  <si>
    <t>Bank</t>
  </si>
  <si>
    <t>Bank Address</t>
  </si>
  <si>
    <t xml:space="preserve">IFSC Code    </t>
  </si>
  <si>
    <t>SWIFT CODE</t>
  </si>
  <si>
    <t>JAICHAND LAL DAGA</t>
  </si>
  <si>
    <t>For JAICHAND LAL DAGA</t>
  </si>
  <si>
    <t>Kote Gate, Bikaner 334001 Rajasthan</t>
  </si>
  <si>
    <t>(Supply meant for Export Under LUT Scheme)</t>
  </si>
  <si>
    <t>Packing List Related To Invoice No.</t>
  </si>
  <si>
    <t xml:space="preserve">Truck Receipt/ Lorry Receipt No. </t>
  </si>
  <si>
    <t>Truck Receipt/ Lorry Receipt Date</t>
  </si>
  <si>
    <t>Truck Number</t>
  </si>
  <si>
    <t>and that all particulars are true and correct.</t>
  </si>
  <si>
    <r>
      <t xml:space="preserve">Declaration </t>
    </r>
    <r>
      <rPr>
        <sz val="9"/>
        <color theme="1"/>
        <rFont val="Cambria"/>
        <family val="1"/>
        <scheme val="major"/>
      </rPr>
      <t xml:space="preserve">: We declare that this Invoice shows the actual price of the Goods described </t>
    </r>
  </si>
  <si>
    <t>Quantity           IN MT</t>
  </si>
  <si>
    <t>Quadruplicate Copy</t>
  </si>
  <si>
    <t xml:space="preserve">                     TOTAL  WEIGHT :-           MT</t>
  </si>
  <si>
    <t xml:space="preserve">CUSTOMS ENTRY POINT IN NEPAL AS "BIRATNAGAR CUSTOMS </t>
  </si>
  <si>
    <t>OFFICE, NEPAL"</t>
  </si>
  <si>
    <t>UNDER LUT SCHEME ARN : AD0803240390972</t>
  </si>
  <si>
    <t>Our Bank Details:</t>
  </si>
  <si>
    <t>1. FELDSPAR</t>
  </si>
  <si>
    <t>HARMONIC CODE NO: 2529.10.10</t>
  </si>
  <si>
    <t>COUNTRY OF ORIGIN: INDIAN ORIGIN</t>
  </si>
  <si>
    <t>1. Payment Terms : 180 DAYS AT SIGHT                                                                                                      2. Delivery Terms : CPT JOGBANI LAND PORT, INDIA                                             3. Delivery Frrom : Tehsil Shrimodhopur, Dist. Neem Ka Thana, Raj.-332701</t>
  </si>
  <si>
    <t>INDUSTRIAL RAW MATERIAL FOR TILES INDUSTRY</t>
  </si>
  <si>
    <t xml:space="preserve">     Packed In Small Bags </t>
  </si>
  <si>
    <t>Original Copy</t>
  </si>
  <si>
    <t>Truck No. : PB10JF9339, PB10HZ9639</t>
  </si>
  <si>
    <t>Packed In Small Bag           Total No. Of Bag = 1680 Bags</t>
  </si>
  <si>
    <t>Truck Receipt/Lorry Receipt No. &amp; Dt: 20812 Dt: 23/05/2024,</t>
  </si>
  <si>
    <t>20811 Dt: 23/05/2024,</t>
  </si>
  <si>
    <t xml:space="preserve">     Total No. Of Bags = 1680 Bags</t>
  </si>
  <si>
    <t>23-05-2024</t>
  </si>
  <si>
    <t>(840 Bags)</t>
  </si>
  <si>
    <t>PB10HZ9639</t>
  </si>
  <si>
    <t>Our PI NO. 107 Date: 04-06-2024</t>
  </si>
  <si>
    <t>Shipping Bill No. &amp; Dt : 1221042 Dt: 28-MAY-2024</t>
  </si>
  <si>
    <t>{{INVOICE_NO}}</t>
  </si>
  <si>
    <t>{{INVOICE_DATE}}</t>
  </si>
  <si>
    <t xml:space="preserve">1. Payment Terms : 180 DAYS AT SIGHT                                                                                                      2. Delivery Terms : CPT JOGBANI LAND PORT, INDIA                                                      3. Delivery From : Tehsil Shrimodhopur, Dist. Neem Ka Thana, Raj.-332701                                                  </t>
  </si>
  <si>
    <t>{{CONSIGNEE}}</t>
  </si>
  <si>
    <t>{{CONSIGNEE_ADDRESS}}</t>
  </si>
  <si>
    <r>
      <t xml:space="preserve">Amount in Words (Rupees) : </t>
    </r>
    <r>
      <rPr>
        <b/>
        <sz val="12"/>
        <color theme="1"/>
        <rFont val="Cambria"/>
        <family val="1"/>
        <scheme val="major"/>
      </rPr>
      <t>{{AMOUNT_IN_WORDS}}</t>
    </r>
  </si>
  <si>
    <t>{{NOTIFY_APPLICANT}}</t>
  </si>
  <si>
    <t>{{NOTIFY_APPLICANT_ADDRESS}}</t>
  </si>
  <si>
    <t>PAN NO: {{PAN_NO}}</t>
  </si>
  <si>
    <t>EXIM CODE : {{EXIM_CODE}}</t>
  </si>
  <si>
    <t>{{BUYER_ORDER_NO}} Date : {{BUYER_ORDER_DATE}}</t>
  </si>
  <si>
    <t>{{RATE_PER_MT}}</t>
  </si>
  <si>
    <t>DOCUMENTRY CREDIT NUMBER : {{DOCUMENTRY_CREDIT_NO}}</t>
  </si>
  <si>
    <t>{{TRUCK_NO}}</t>
  </si>
  <si>
    <t>{{LR_NO}}</t>
  </si>
  <si>
    <t>{{QTY_IN_MT}}</t>
  </si>
  <si>
    <t>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</si>
</sst>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7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color theme="1"/>
      <name val="Cambria"/>
      <family val="1"/>
    </font>
    <font>
      <u/>
      <sz val="11"/>
      <name val="Cambria"/>
      <family val="1"/>
      <scheme val="major"/>
    </font>
    <font>
      <sz val="10"/>
      <name val="Arial"/>
      <family val="2"/>
    </font>
    <font>
      <u/>
      <sz val="12"/>
      <name val="Cambria"/>
      <family val="1"/>
      <scheme val="major"/>
    </font>
    <font>
      <sz val="13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name val="Cambria"/>
      <family val="1"/>
      <scheme val="major"/>
    </font>
    <font>
      <u/>
      <sz val="9"/>
      <color theme="1"/>
      <name val="Cambria"/>
      <family val="1"/>
      <scheme val="major"/>
    </font>
    <font>
      <u/>
      <sz val="13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/>
  </cellStyleXfs>
  <cellXfs count="291">
    <xf numFmtId="0" fontId="0" fillId="0" borderId="0" xfId="0"/>
    <xf numFmtId="0" fontId="11" fillId="0" borderId="0" xfId="2" applyFont="1" applyBorder="1" applyAlignment="1"/>
    <xf numFmtId="0" fontId="13" fillId="0" borderId="12" xfId="2" applyFont="1" applyBorder="1" applyAlignment="1">
      <alignment vertical="center" wrapText="1"/>
    </xf>
    <xf numFmtId="0" fontId="8" fillId="0" borderId="13" xfId="2" applyFont="1" applyBorder="1" applyAlignment="1">
      <alignment horizontal="center"/>
    </xf>
    <xf numFmtId="0" fontId="14" fillId="0" borderId="14" xfId="2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13" fillId="0" borderId="23" xfId="2" applyFont="1" applyBorder="1" applyAlignment="1">
      <alignment horizontal="center"/>
    </xf>
    <xf numFmtId="2" fontId="13" fillId="0" borderId="20" xfId="2" applyNumberFormat="1" applyFont="1" applyBorder="1" applyAlignment="1">
      <alignment horizontal="center"/>
    </xf>
    <xf numFmtId="2" fontId="10" fillId="0" borderId="27" xfId="2" applyNumberFormat="1" applyFont="1" applyBorder="1" applyAlignment="1"/>
    <xf numFmtId="0" fontId="10" fillId="0" borderId="0" xfId="2" applyFont="1" applyBorder="1" applyAlignment="1"/>
    <xf numFmtId="0" fontId="19" fillId="0" borderId="21" xfId="37" applyFont="1" applyBorder="1" applyAlignment="1"/>
    <xf numFmtId="0" fontId="15" fillId="0" borderId="6" xfId="37" applyFont="1" applyBorder="1" applyAlignment="1"/>
    <xf numFmtId="0" fontId="23" fillId="0" borderId="3" xfId="37" applyBorder="1"/>
    <xf numFmtId="0" fontId="15" fillId="0" borderId="23" xfId="37" applyFont="1" applyBorder="1" applyAlignment="1"/>
    <xf numFmtId="0" fontId="15" fillId="0" borderId="0" xfId="37" applyFont="1" applyBorder="1" applyAlignment="1"/>
    <xf numFmtId="0" fontId="18" fillId="0" borderId="8" xfId="37" applyFont="1" applyBorder="1" applyAlignment="1">
      <alignment horizontal="right"/>
    </xf>
    <xf numFmtId="0" fontId="15" fillId="0" borderId="8" xfId="37" applyFont="1" applyBorder="1"/>
    <xf numFmtId="0" fontId="23" fillId="0" borderId="28" xfId="37" applyBorder="1"/>
    <xf numFmtId="0" fontId="23" fillId="0" borderId="29" xfId="37" applyBorder="1"/>
    <xf numFmtId="0" fontId="15" fillId="0" borderId="29" xfId="37" applyFont="1" applyBorder="1" applyAlignment="1"/>
    <xf numFmtId="0" fontId="23" fillId="0" borderId="30" xfId="37" applyBorder="1"/>
    <xf numFmtId="0" fontId="21" fillId="0" borderId="20" xfId="0" applyFont="1" applyBorder="1" applyAlignment="1">
      <alignment horizontal="center"/>
    </xf>
    <xf numFmtId="0" fontId="13" fillId="0" borderId="20" xfId="2" applyFont="1" applyBorder="1" applyAlignment="1">
      <alignment horizontal="center"/>
    </xf>
    <xf numFmtId="0" fontId="0" fillId="0" borderId="0" xfId="0" applyBorder="1"/>
    <xf numFmtId="0" fontId="16" fillId="0" borderId="0" xfId="0" applyFont="1" applyFill="1" applyBorder="1" applyAlignment="1"/>
    <xf numFmtId="0" fontId="13" fillId="0" borderId="8" xfId="2" applyFont="1" applyBorder="1" applyAlignment="1">
      <alignment vertical="center" wrapText="1"/>
    </xf>
    <xf numFmtId="0" fontId="10" fillId="0" borderId="3" xfId="2" applyFont="1" applyBorder="1" applyAlignment="1">
      <alignment vertical="top" wrapText="1"/>
    </xf>
    <xf numFmtId="0" fontId="8" fillId="0" borderId="12" xfId="2" applyFont="1" applyBorder="1" applyAlignment="1">
      <alignment horizontal="center"/>
    </xf>
    <xf numFmtId="0" fontId="8" fillId="0" borderId="20" xfId="2" applyFont="1" applyBorder="1" applyAlignment="1">
      <alignment horizontal="center"/>
    </xf>
    <xf numFmtId="0" fontId="0" fillId="0" borderId="33" xfId="0" applyBorder="1"/>
    <xf numFmtId="0" fontId="8" fillId="0" borderId="11" xfId="2" applyFont="1" applyBorder="1" applyAlignment="1">
      <alignment vertical="center" wrapText="1"/>
    </xf>
    <xf numFmtId="164" fontId="8" fillId="0" borderId="12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20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vertical="center" wrapText="1"/>
    </xf>
    <xf numFmtId="2" fontId="13" fillId="0" borderId="12" xfId="2" applyNumberFormat="1" applyFont="1" applyBorder="1" applyAlignment="1">
      <alignment horizontal="center"/>
    </xf>
    <xf numFmtId="0" fontId="13" fillId="0" borderId="23" xfId="2" applyFont="1" applyBorder="1"/>
    <xf numFmtId="0" fontId="21" fillId="0" borderId="12" xfId="0" applyFont="1" applyBorder="1"/>
    <xf numFmtId="0" fontId="13" fillId="0" borderId="12" xfId="2" applyFont="1" applyBorder="1" applyAlignment="1">
      <alignment horizontal="center"/>
    </xf>
    <xf numFmtId="0" fontId="32" fillId="0" borderId="2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0" fillId="0" borderId="6" xfId="2" applyFont="1" applyBorder="1" applyAlignment="1">
      <alignment vertical="top" wrapText="1"/>
    </xf>
    <xf numFmtId="0" fontId="8" fillId="0" borderId="23" xfId="2" applyFont="1" applyBorder="1" applyAlignment="1">
      <alignment horizontal="left" vertical="top" wrapText="1"/>
    </xf>
    <xf numFmtId="0" fontId="8" fillId="0" borderId="19" xfId="2" applyFont="1" applyBorder="1" applyAlignment="1">
      <alignment horizontal="left"/>
    </xf>
    <xf numFmtId="0" fontId="8" fillId="0" borderId="23" xfId="2" applyFont="1" applyBorder="1" applyAlignment="1">
      <alignment horizontal="left"/>
    </xf>
    <xf numFmtId="0" fontId="27" fillId="0" borderId="21" xfId="2" applyFont="1" applyBorder="1" applyAlignment="1">
      <alignment horizontal="left" vertical="top" wrapText="1"/>
    </xf>
    <xf numFmtId="0" fontId="32" fillId="0" borderId="11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2" fontId="13" fillId="0" borderId="8" xfId="2" applyNumberFormat="1" applyFont="1" applyBorder="1" applyAlignment="1">
      <alignment horizontal="center"/>
    </xf>
    <xf numFmtId="0" fontId="21" fillId="0" borderId="8" xfId="0" applyFont="1" applyBorder="1"/>
    <xf numFmtId="0" fontId="13" fillId="0" borderId="12" xfId="2" applyFont="1" applyBorder="1" applyAlignment="1"/>
    <xf numFmtId="0" fontId="25" fillId="0" borderId="7" xfId="37" applyFont="1" applyBorder="1" applyAlignment="1"/>
    <xf numFmtId="0" fontId="15" fillId="0" borderId="2" xfId="37" applyFont="1" applyBorder="1" applyAlignment="1"/>
    <xf numFmtId="0" fontId="24" fillId="0" borderId="21" xfId="37" applyFont="1" applyBorder="1" applyAlignment="1"/>
    <xf numFmtId="0" fontId="24" fillId="0" borderId="6" xfId="37" applyFont="1" applyBorder="1" applyAlignment="1"/>
    <xf numFmtId="0" fontId="13" fillId="0" borderId="5" xfId="2" applyFont="1" applyBorder="1" applyAlignment="1"/>
    <xf numFmtId="164" fontId="20" fillId="0" borderId="7" xfId="37" applyNumberFormat="1" applyFont="1" applyBorder="1" applyAlignment="1"/>
    <xf numFmtId="0" fontId="24" fillId="0" borderId="11" xfId="37" applyFont="1" applyBorder="1" applyAlignment="1"/>
    <xf numFmtId="0" fontId="12" fillId="0" borderId="12" xfId="2" applyFont="1" applyBorder="1" applyAlignment="1">
      <alignment vertical="top" wrapText="1"/>
    </xf>
    <xf numFmtId="0" fontId="25" fillId="0" borderId="12" xfId="37" applyFont="1" applyBorder="1" applyAlignment="1"/>
    <xf numFmtId="0" fontId="25" fillId="0" borderId="12" xfId="0" applyFont="1" applyBorder="1" applyAlignment="1"/>
    <xf numFmtId="0" fontId="12" fillId="0" borderId="12" xfId="2" applyFont="1" applyBorder="1" applyAlignment="1"/>
    <xf numFmtId="49" fontId="16" fillId="0" borderId="7" xfId="37" applyNumberFormat="1" applyFont="1" applyBorder="1" applyAlignment="1">
      <alignment horizontal="center"/>
    </xf>
    <xf numFmtId="0" fontId="11" fillId="0" borderId="12" xfId="2" applyFont="1" applyBorder="1" applyAlignment="1">
      <alignment horizontal="center" vertical="top" wrapText="1"/>
    </xf>
    <xf numFmtId="0" fontId="15" fillId="0" borderId="41" xfId="37" applyFont="1" applyBorder="1" applyAlignment="1"/>
    <xf numFmtId="164" fontId="20" fillId="0" borderId="41" xfId="37" applyNumberFormat="1" applyFont="1" applyBorder="1" applyAlignment="1"/>
    <xf numFmtId="164" fontId="16" fillId="0" borderId="41" xfId="37" applyNumberFormat="1" applyFont="1" applyBorder="1" applyAlignment="1">
      <alignment horizontal="center"/>
    </xf>
    <xf numFmtId="0" fontId="25" fillId="0" borderId="41" xfId="37" applyFont="1" applyBorder="1" applyAlignment="1"/>
    <xf numFmtId="0" fontId="17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4" fontId="16" fillId="0" borderId="42" xfId="37" applyNumberFormat="1" applyFont="1" applyBorder="1" applyAlignment="1">
      <alignment horizontal="center" vertical="center"/>
    </xf>
    <xf numFmtId="2" fontId="11" fillId="0" borderId="27" xfId="2" applyNumberFormat="1" applyFont="1" applyBorder="1" applyAlignment="1"/>
    <xf numFmtId="0" fontId="13" fillId="0" borderId="8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12" fillId="0" borderId="4" xfId="2" applyFont="1" applyBorder="1" applyAlignment="1">
      <alignment horizontal="center"/>
    </xf>
    <xf numFmtId="0" fontId="36" fillId="0" borderId="12" xfId="2" applyFont="1" applyBorder="1" applyAlignment="1">
      <alignment horizontal="center" vertical="center" wrapText="1"/>
    </xf>
    <xf numFmtId="0" fontId="17" fillId="0" borderId="41" xfId="37" applyFont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32" fillId="0" borderId="2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3" fillId="0" borderId="7" xfId="2" applyFont="1" applyFill="1" applyBorder="1" applyAlignment="1">
      <alignment horizontal="left" vertical="center" wrapText="1"/>
    </xf>
    <xf numFmtId="0" fontId="13" fillId="0" borderId="0" xfId="2" applyFont="1" applyFill="1" applyBorder="1" applyAlignment="1">
      <alignment horizontal="left" vertical="center" wrapText="1"/>
    </xf>
    <xf numFmtId="0" fontId="13" fillId="0" borderId="8" xfId="2" applyFont="1" applyFill="1" applyBorder="1" applyAlignment="1">
      <alignment horizontal="left" vertical="center" wrapText="1"/>
    </xf>
    <xf numFmtId="0" fontId="8" fillId="0" borderId="34" xfId="2" applyFont="1" applyBorder="1" applyAlignment="1">
      <alignment horizontal="center" vertical="center" wrapText="1"/>
    </xf>
    <xf numFmtId="0" fontId="13" fillId="0" borderId="2" xfId="2" applyFont="1" applyBorder="1" applyAlignment="1"/>
    <xf numFmtId="0" fontId="13" fillId="0" borderId="6" xfId="2" applyFont="1" applyBorder="1" applyAlignment="1"/>
    <xf numFmtId="0" fontId="13" fillId="0" borderId="3" xfId="2" applyFont="1" applyBorder="1" applyAlignment="1"/>
    <xf numFmtId="0" fontId="13" fillId="0" borderId="7" xfId="2" applyFont="1" applyBorder="1" applyAlignment="1"/>
    <xf numFmtId="0" fontId="13" fillId="0" borderId="0" xfId="2" applyFont="1" applyBorder="1" applyAlignment="1"/>
    <xf numFmtId="0" fontId="13" fillId="0" borderId="8" xfId="2" applyFont="1" applyBorder="1" applyAlignment="1"/>
    <xf numFmtId="0" fontId="17" fillId="0" borderId="7" xfId="0" applyFont="1" applyBorder="1" applyAlignment="1"/>
    <xf numFmtId="0" fontId="17" fillId="0" borderId="0" xfId="0" applyFont="1" applyBorder="1" applyAlignment="1"/>
    <xf numFmtId="0" fontId="17" fillId="0" borderId="8" xfId="0" applyFont="1" applyBorder="1" applyAlignment="1"/>
    <xf numFmtId="0" fontId="33" fillId="0" borderId="21" xfId="2" applyFont="1" applyBorder="1" applyAlignment="1"/>
    <xf numFmtId="0" fontId="33" fillId="0" borderId="6" xfId="2" applyFont="1" applyBorder="1" applyAlignment="1"/>
    <xf numFmtId="0" fontId="33" fillId="0" borderId="3" xfId="2" applyFont="1" applyBorder="1" applyAlignment="1"/>
    <xf numFmtId="0" fontId="26" fillId="0" borderId="28" xfId="2" applyFont="1" applyBorder="1" applyAlignment="1"/>
    <xf numFmtId="0" fontId="26" fillId="0" borderId="29" xfId="2" applyFont="1" applyBorder="1" applyAlignment="1"/>
    <xf numFmtId="0" fontId="26" fillId="0" borderId="30" xfId="2" applyFont="1" applyBorder="1" applyAlignment="1"/>
    <xf numFmtId="0" fontId="8" fillId="0" borderId="7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14" fillId="0" borderId="7" xfId="2" applyFont="1" applyBorder="1" applyAlignment="1">
      <alignment horizontal="right"/>
    </xf>
    <xf numFmtId="0" fontId="14" fillId="0" borderId="0" xfId="2" applyFont="1" applyBorder="1" applyAlignment="1">
      <alignment horizontal="right"/>
    </xf>
    <xf numFmtId="0" fontId="14" fillId="0" borderId="20" xfId="2" applyFont="1" applyBorder="1" applyAlignment="1">
      <alignment horizontal="right"/>
    </xf>
    <xf numFmtId="0" fontId="10" fillId="0" borderId="31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32" xfId="2" applyFont="1" applyBorder="1" applyAlignment="1">
      <alignment horizontal="right"/>
    </xf>
    <xf numFmtId="0" fontId="10" fillId="0" borderId="4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0" fillId="0" borderId="10" xfId="0" applyBorder="1"/>
    <xf numFmtId="0" fontId="12" fillId="0" borderId="2" xfId="2" applyFont="1" applyBorder="1" applyAlignment="1">
      <alignment horizontal="right" vertical="top"/>
    </xf>
    <xf numFmtId="0" fontId="12" fillId="0" borderId="6" xfId="2" applyFont="1" applyBorder="1" applyAlignment="1">
      <alignment horizontal="right" vertical="top"/>
    </xf>
    <xf numFmtId="0" fontId="12" fillId="0" borderId="22" xfId="2" applyFont="1" applyBorder="1" applyAlignment="1">
      <alignment horizontal="right" vertical="top"/>
    </xf>
    <xf numFmtId="0" fontId="12" fillId="0" borderId="7" xfId="2" applyFont="1" applyBorder="1" applyAlignment="1">
      <alignment horizontal="right" vertical="top"/>
    </xf>
    <xf numFmtId="0" fontId="12" fillId="0" borderId="0" xfId="2" applyFont="1" applyBorder="1" applyAlignment="1">
      <alignment horizontal="right" vertical="top"/>
    </xf>
    <xf numFmtId="0" fontId="12" fillId="0" borderId="20" xfId="2" applyFont="1" applyBorder="1" applyAlignment="1">
      <alignment horizontal="right" vertical="top"/>
    </xf>
    <xf numFmtId="0" fontId="13" fillId="0" borderId="9" xfId="2" applyFont="1" applyBorder="1" applyAlignment="1">
      <alignment horizontal="center"/>
    </xf>
    <xf numFmtId="0" fontId="21" fillId="0" borderId="10" xfId="0" applyFont="1" applyBorder="1"/>
    <xf numFmtId="0" fontId="18" fillId="0" borderId="2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left"/>
    </xf>
    <xf numFmtId="49" fontId="11" fillId="0" borderId="0" xfId="2" applyNumberFormat="1" applyFont="1" applyBorder="1" applyAlignment="1">
      <alignment horizontal="left"/>
    </xf>
    <xf numFmtId="0" fontId="11" fillId="0" borderId="0" xfId="2" applyFont="1" applyBorder="1" applyAlignment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49" fontId="11" fillId="0" borderId="8" xfId="2" applyNumberFormat="1" applyFont="1" applyBorder="1" applyAlignment="1">
      <alignment horizontal="left"/>
    </xf>
    <xf numFmtId="0" fontId="10" fillId="0" borderId="21" xfId="2" applyFont="1" applyBorder="1" applyAlignment="1">
      <alignment horizontal="left" vertical="top" wrapText="1"/>
    </xf>
    <xf numFmtId="0" fontId="10" fillId="0" borderId="6" xfId="2" applyFont="1" applyBorder="1" applyAlignment="1">
      <alignment horizontal="lef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1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35" fillId="0" borderId="19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22" fillId="0" borderId="2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3" fillId="0" borderId="23" xfId="0" applyFont="1" applyBorder="1"/>
    <xf numFmtId="0" fontId="13" fillId="0" borderId="8" xfId="0" applyFont="1" applyBorder="1"/>
    <xf numFmtId="0" fontId="31" fillId="0" borderId="7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17" fillId="0" borderId="34" xfId="0" applyFont="1" applyFill="1" applyBorder="1" applyAlignment="1"/>
    <xf numFmtId="0" fontId="17" fillId="0" borderId="12" xfId="0" applyFont="1" applyFill="1" applyBorder="1" applyAlignment="1"/>
    <xf numFmtId="0" fontId="29" fillId="0" borderId="21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0" fontId="18" fillId="0" borderId="34" xfId="0" applyFont="1" applyFill="1" applyBorder="1" applyAlignment="1"/>
    <xf numFmtId="0" fontId="18" fillId="0" borderId="12" xfId="0" applyFont="1" applyFill="1" applyBorder="1" applyAlignment="1"/>
    <xf numFmtId="0" fontId="30" fillId="0" borderId="7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30" fillId="0" borderId="20" xfId="0" applyFont="1" applyBorder="1" applyAlignment="1">
      <alignment wrapText="1"/>
    </xf>
    <xf numFmtId="0" fontId="31" fillId="0" borderId="7" xfId="0" applyFont="1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0" fontId="31" fillId="0" borderId="20" xfId="0" applyFont="1" applyBorder="1" applyAlignment="1">
      <alignment vertical="center" wrapText="1"/>
    </xf>
    <xf numFmtId="0" fontId="17" fillId="0" borderId="23" xfId="0" applyFont="1" applyBorder="1" applyAlignment="1"/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3" fillId="0" borderId="4" xfId="0" applyFont="1" applyBorder="1"/>
    <xf numFmtId="0" fontId="13" fillId="0" borderId="1" xfId="0" applyFont="1" applyBorder="1"/>
    <xf numFmtId="0" fontId="13" fillId="0" borderId="24" xfId="0" applyFont="1" applyBorder="1"/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8" fillId="0" borderId="23" xfId="0" applyFont="1" applyBorder="1" applyAlignment="1"/>
    <xf numFmtId="0" fontId="18" fillId="0" borderId="0" xfId="0" applyFont="1" applyBorder="1" applyAlignment="1"/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9" fillId="0" borderId="0" xfId="2" applyFont="1" applyBorder="1" applyAlignment="1">
      <alignment horizontal="center" vertical="top"/>
    </xf>
    <xf numFmtId="0" fontId="7" fillId="0" borderId="35" xfId="2" applyFont="1" applyBorder="1" applyAlignment="1">
      <alignment horizontal="center"/>
    </xf>
    <xf numFmtId="0" fontId="7" fillId="0" borderId="36" xfId="2" applyFont="1" applyBorder="1" applyAlignment="1">
      <alignment horizontal="center"/>
    </xf>
    <xf numFmtId="0" fontId="7" fillId="0" borderId="37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4" fillId="0" borderId="18" xfId="2" applyFont="1" applyBorder="1" applyAlignment="1">
      <alignment horizontal="center"/>
    </xf>
    <xf numFmtId="0" fontId="14" fillId="0" borderId="15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8" xfId="2" applyFont="1" applyBorder="1" applyAlignment="1">
      <alignment horizontal="center"/>
    </xf>
    <xf numFmtId="49" fontId="12" fillId="0" borderId="7" xfId="2" applyNumberFormat="1" applyFont="1" applyBorder="1" applyAlignment="1">
      <alignment horizontal="center"/>
    </xf>
    <xf numFmtId="49" fontId="12" fillId="0" borderId="0" xfId="2" applyNumberFormat="1" applyFont="1" applyBorder="1" applyAlignment="1">
      <alignment horizontal="center"/>
    </xf>
    <xf numFmtId="49" fontId="12" fillId="0" borderId="20" xfId="2" applyNumberFormat="1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32" xfId="2" applyFont="1" applyBorder="1" applyAlignment="1">
      <alignment horizontal="center"/>
    </xf>
    <xf numFmtId="0" fontId="13" fillId="0" borderId="23" xfId="2" applyFont="1" applyFill="1" applyBorder="1" applyAlignment="1">
      <alignment vertical="center" wrapText="1"/>
    </xf>
    <xf numFmtId="0" fontId="13" fillId="0" borderId="0" xfId="2" applyFont="1" applyFill="1" applyBorder="1" applyAlignment="1">
      <alignment vertical="center" wrapText="1"/>
    </xf>
    <xf numFmtId="0" fontId="13" fillId="0" borderId="8" xfId="2" applyFont="1" applyFill="1" applyBorder="1" applyAlignment="1">
      <alignment vertical="center" wrapText="1"/>
    </xf>
    <xf numFmtId="0" fontId="7" fillId="0" borderId="35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37" xfId="2" applyFont="1" applyBorder="1" applyAlignment="1">
      <alignment horizontal="center" vertical="center"/>
    </xf>
    <xf numFmtId="0" fontId="13" fillId="0" borderId="23" xfId="2" applyFont="1" applyBorder="1" applyAlignment="1"/>
    <xf numFmtId="0" fontId="16" fillId="0" borderId="21" xfId="37" applyFont="1" applyBorder="1" applyAlignment="1">
      <alignment horizontal="center" vertical="center"/>
    </xf>
    <xf numFmtId="0" fontId="16" fillId="0" borderId="6" xfId="37" applyFont="1" applyBorder="1" applyAlignment="1">
      <alignment horizontal="center" vertical="center"/>
    </xf>
    <xf numFmtId="0" fontId="16" fillId="0" borderId="19" xfId="37" applyFont="1" applyBorder="1" applyAlignment="1">
      <alignment horizontal="center" vertical="center"/>
    </xf>
    <xf numFmtId="0" fontId="16" fillId="0" borderId="1" xfId="37" applyFont="1" applyBorder="1" applyAlignment="1">
      <alignment horizontal="center" vertical="center"/>
    </xf>
    <xf numFmtId="0" fontId="18" fillId="0" borderId="11" xfId="37" applyFont="1" applyBorder="1" applyAlignment="1">
      <alignment horizontal="center" vertical="center" wrapText="1"/>
    </xf>
    <xf numFmtId="0" fontId="18" fillId="0" borderId="13" xfId="37" applyFont="1" applyBorder="1" applyAlignment="1">
      <alignment horizontal="center" vertical="center" wrapText="1"/>
    </xf>
    <xf numFmtId="0" fontId="28" fillId="0" borderId="2" xfId="37" applyFont="1" applyBorder="1" applyAlignment="1">
      <alignment horizontal="center" vertical="center" wrapText="1"/>
    </xf>
    <xf numFmtId="0" fontId="28" fillId="0" borderId="4" xfId="37" applyFont="1" applyBorder="1" applyAlignment="1">
      <alignment horizontal="center" vertical="center" wrapText="1"/>
    </xf>
    <xf numFmtId="0" fontId="15" fillId="0" borderId="23" xfId="37" applyFont="1" applyBorder="1" applyAlignment="1"/>
    <xf numFmtId="0" fontId="15" fillId="0" borderId="0" xfId="37" applyFont="1" applyBorder="1" applyAlignment="1"/>
    <xf numFmtId="0" fontId="10" fillId="0" borderId="23" xfId="2" applyFont="1" applyBorder="1" applyAlignment="1"/>
    <xf numFmtId="0" fontId="10" fillId="0" borderId="0" xfId="2" applyFont="1" applyBorder="1" applyAlignment="1"/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11" xfId="37" applyFont="1" applyBorder="1" applyAlignment="1">
      <alignment horizontal="center" vertical="center" wrapText="1"/>
    </xf>
    <xf numFmtId="0" fontId="28" fillId="0" borderId="13" xfId="37" applyFont="1" applyBorder="1" applyAlignment="1">
      <alignment horizontal="center" vertical="center" wrapText="1"/>
    </xf>
    <xf numFmtId="0" fontId="18" fillId="0" borderId="39" xfId="37" applyFont="1" applyBorder="1" applyAlignment="1">
      <alignment horizontal="center" vertical="center" wrapText="1"/>
    </xf>
    <xf numFmtId="0" fontId="18" fillId="0" borderId="40" xfId="37" applyFont="1" applyBorder="1" applyAlignment="1">
      <alignment horizontal="center" vertical="center" wrapText="1"/>
    </xf>
    <xf numFmtId="0" fontId="25" fillId="0" borderId="31" xfId="37" applyFont="1" applyBorder="1" applyAlignment="1">
      <alignment horizontal="right"/>
    </xf>
    <xf numFmtId="0" fontId="25" fillId="0" borderId="29" xfId="37" applyFont="1" applyBorder="1" applyAlignment="1">
      <alignment horizontal="right"/>
    </xf>
    <xf numFmtId="0" fontId="25" fillId="0" borderId="32" xfId="37" applyFont="1" applyBorder="1" applyAlignment="1">
      <alignment horizontal="right"/>
    </xf>
    <xf numFmtId="0" fontId="20" fillId="0" borderId="19" xfId="37" applyFont="1" applyBorder="1" applyAlignment="1"/>
    <xf numFmtId="0" fontId="20" fillId="0" borderId="1" xfId="37" applyFont="1" applyBorder="1" applyAlignment="1"/>
    <xf numFmtId="0" fontId="20" fillId="0" borderId="5" xfId="37" applyFont="1" applyBorder="1" applyAlignment="1"/>
    <xf numFmtId="0" fontId="16" fillId="0" borderId="9" xfId="37" applyFont="1" applyBorder="1" applyAlignment="1">
      <alignment horizontal="center" vertical="center"/>
    </xf>
    <xf numFmtId="0" fontId="16" fillId="0" borderId="38" xfId="37" applyFont="1" applyBorder="1" applyAlignment="1">
      <alignment horizontal="center" vertical="center"/>
    </xf>
    <xf numFmtId="0" fontId="16" fillId="0" borderId="10" xfId="37" applyFont="1" applyBorder="1" applyAlignment="1">
      <alignment horizontal="center" vertical="center"/>
    </xf>
    <xf numFmtId="0" fontId="12" fillId="0" borderId="2" xfId="2" applyFont="1" applyBorder="1" applyAlignment="1">
      <alignment horizontal="right" vertical="center"/>
    </xf>
    <xf numFmtId="0" fontId="12" fillId="0" borderId="6" xfId="2" applyFont="1" applyBorder="1" applyAlignment="1">
      <alignment horizontal="right" vertical="center"/>
    </xf>
    <xf numFmtId="0" fontId="12" fillId="0" borderId="20" xfId="2" applyFont="1" applyBorder="1" applyAlignment="1">
      <alignment horizontal="right" vertical="center"/>
    </xf>
    <xf numFmtId="0" fontId="20" fillId="0" borderId="7" xfId="37" applyFont="1" applyBorder="1" applyAlignment="1">
      <alignment horizontal="right"/>
    </xf>
    <xf numFmtId="0" fontId="20" fillId="0" borderId="0" xfId="37" applyFont="1" applyBorder="1" applyAlignment="1">
      <alignment horizontal="right"/>
    </xf>
    <xf numFmtId="0" fontId="20" fillId="0" borderId="20" xfId="37" applyFont="1" applyBorder="1" applyAlignment="1">
      <alignment horizontal="right"/>
    </xf>
    <xf numFmtId="0" fontId="25" fillId="0" borderId="7" xfId="37" applyFont="1" applyBorder="1"/>
    <xf numFmtId="0" fontId="25" fillId="0" borderId="0" xfId="37" applyFont="1" applyBorder="1"/>
    <xf numFmtId="0" fontId="25" fillId="0" borderId="20" xfId="37" applyFont="1" applyBorder="1"/>
    <xf numFmtId="0" fontId="11" fillId="0" borderId="23" xfId="2" applyFont="1" applyBorder="1" applyAlignment="1">
      <alignment vertical="top" wrapText="1"/>
    </xf>
    <xf numFmtId="0" fontId="11" fillId="0" borderId="0" xfId="2" applyFont="1" applyBorder="1" applyAlignment="1">
      <alignment vertical="top" wrapText="1"/>
    </xf>
    <xf numFmtId="0" fontId="32" fillId="0" borderId="2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12" fillId="0" borderId="23" xfId="2" applyFont="1" applyBorder="1" applyAlignment="1"/>
    <xf numFmtId="0" fontId="12" fillId="0" borderId="0" xfId="2" applyFont="1" applyBorder="1" applyAlignment="1"/>
    <xf numFmtId="0" fontId="12" fillId="0" borderId="8" xfId="2" applyFont="1" applyBorder="1" applyAlignment="1"/>
    <xf numFmtId="0" fontId="9" fillId="0" borderId="0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0" borderId="24" xfId="2" applyNumberFormat="1" applyFont="1" applyBorder="1" applyAlignment="1">
      <alignment horizontal="center" vertical="center"/>
    </xf>
    <xf numFmtId="0" fontId="34" fillId="0" borderId="17" xfId="2" applyFont="1" applyBorder="1" applyAlignment="1">
      <alignment horizontal="center"/>
    </xf>
    <xf numFmtId="0" fontId="34" fillId="0" borderId="15" xfId="2" applyFont="1" applyBorder="1" applyAlignment="1">
      <alignment horizontal="center"/>
    </xf>
    <xf numFmtId="0" fontId="34" fillId="0" borderId="18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5" xfId="2" applyFont="1" applyBorder="1" applyAlignment="1">
      <alignment horizontal="center"/>
    </xf>
  </cellXfs>
  <cellStyles count="38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1"/>
    <cellStyle name="Normal 2 2" xfId="2"/>
    <cellStyle name="Normal 3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3" workbookViewId="0">
      <selection activeCell="K18" sqref="K18"/>
    </sheetView>
  </sheetViews>
  <sheetFormatPr defaultRowHeight="13.8" x14ac:dyDescent="0.25"/>
  <cols>
    <col min="1" max="1" width="19.59765625" bestFit="1" customWidth="1"/>
    <col min="2" max="2" width="22.3984375" customWidth="1"/>
    <col min="3" max="3" width="17.09765625" customWidth="1"/>
    <col min="4" max="4" width="11" customWidth="1"/>
    <col min="5" max="5" width="9.5" customWidth="1"/>
    <col min="6" max="6" width="10.8984375" bestFit="1" customWidth="1"/>
    <col min="7" max="7" width="11.69921875" bestFit="1" customWidth="1"/>
  </cols>
  <sheetData>
    <row r="1" spans="1:7" ht="35.4" thickBot="1" x14ac:dyDescent="0.3">
      <c r="A1" s="213" t="s">
        <v>33</v>
      </c>
      <c r="B1" s="213"/>
      <c r="C1" s="213"/>
      <c r="D1" s="213"/>
      <c r="E1" s="213"/>
      <c r="F1" s="213"/>
      <c r="G1" s="213"/>
    </row>
    <row r="2" spans="1:7" ht="18" thickBot="1" x14ac:dyDescent="0.35">
      <c r="A2" s="10" t="s">
        <v>14</v>
      </c>
      <c r="B2" s="1"/>
      <c r="C2" s="1"/>
      <c r="D2" s="1"/>
      <c r="E2" s="214" t="s">
        <v>87</v>
      </c>
      <c r="F2" s="215"/>
      <c r="G2" s="216"/>
    </row>
    <row r="3" spans="1:7" ht="14.4" thickBot="1" x14ac:dyDescent="0.3">
      <c r="A3" s="226" t="s">
        <v>67</v>
      </c>
      <c r="B3" s="226"/>
      <c r="C3" s="226"/>
      <c r="D3" s="226"/>
      <c r="E3" s="226"/>
      <c r="F3" s="226"/>
      <c r="G3" s="227"/>
    </row>
    <row r="4" spans="1:7" ht="15" x14ac:dyDescent="0.25">
      <c r="A4" s="4" t="s">
        <v>0</v>
      </c>
      <c r="B4" s="77" t="s">
        <v>1</v>
      </c>
      <c r="C4" s="217" t="s">
        <v>2</v>
      </c>
      <c r="D4" s="218"/>
      <c r="E4" s="217" t="s">
        <v>3</v>
      </c>
      <c r="F4" s="219"/>
      <c r="G4" s="220"/>
    </row>
    <row r="5" spans="1:7" ht="16.8" x14ac:dyDescent="0.3">
      <c r="A5" s="5" t="s">
        <v>4</v>
      </c>
      <c r="B5" s="79" t="s">
        <v>5</v>
      </c>
      <c r="C5" s="221" t="s">
        <v>98</v>
      </c>
      <c r="D5" s="222"/>
      <c r="E5" s="223" t="s">
        <v>99</v>
      </c>
      <c r="F5" s="224"/>
      <c r="G5" s="225"/>
    </row>
    <row r="6" spans="1:7" ht="15" x14ac:dyDescent="0.25">
      <c r="A6" s="182" t="s">
        <v>16</v>
      </c>
      <c r="B6" s="185"/>
      <c r="C6" s="205" t="s">
        <v>19</v>
      </c>
      <c r="D6" s="206"/>
      <c r="E6" s="206"/>
      <c r="F6" s="206"/>
      <c r="G6" s="207"/>
    </row>
    <row r="7" spans="1:7" ht="15" x14ac:dyDescent="0.25">
      <c r="A7" s="208" t="s">
        <v>17</v>
      </c>
      <c r="B7" s="209"/>
      <c r="C7" s="210" t="s">
        <v>108</v>
      </c>
      <c r="D7" s="211"/>
      <c r="E7" s="211"/>
      <c r="F7" s="211"/>
      <c r="G7" s="212"/>
    </row>
    <row r="8" spans="1:7" x14ac:dyDescent="0.25">
      <c r="A8" s="195" t="s">
        <v>18</v>
      </c>
      <c r="B8" s="110"/>
      <c r="C8" s="202"/>
      <c r="D8" s="203"/>
      <c r="E8" s="203"/>
      <c r="F8" s="203"/>
      <c r="G8" s="204"/>
    </row>
    <row r="9" spans="1:7" ht="15" x14ac:dyDescent="0.25">
      <c r="A9" s="195" t="s">
        <v>20</v>
      </c>
      <c r="B9" s="111"/>
      <c r="C9" s="196" t="s">
        <v>22</v>
      </c>
      <c r="D9" s="197"/>
      <c r="E9" s="197"/>
      <c r="F9" s="197"/>
      <c r="G9" s="198"/>
    </row>
    <row r="10" spans="1:7" ht="15" x14ac:dyDescent="0.25">
      <c r="A10" s="195" t="s">
        <v>21</v>
      </c>
      <c r="B10" s="111"/>
      <c r="C10" s="199" t="s">
        <v>96</v>
      </c>
      <c r="D10" s="200"/>
      <c r="E10" s="200"/>
      <c r="F10" s="200"/>
      <c r="G10" s="201"/>
    </row>
    <row r="11" spans="1:7" x14ac:dyDescent="0.25">
      <c r="A11" s="195" t="s">
        <v>23</v>
      </c>
      <c r="B11" s="111"/>
      <c r="C11" s="202"/>
      <c r="D11" s="203"/>
      <c r="E11" s="203"/>
      <c r="F11" s="203"/>
      <c r="G11" s="204"/>
    </row>
    <row r="12" spans="1:7" x14ac:dyDescent="0.25">
      <c r="A12" s="182" t="s">
        <v>24</v>
      </c>
      <c r="B12" s="183"/>
      <c r="C12" s="184" t="s">
        <v>25</v>
      </c>
      <c r="D12" s="185"/>
      <c r="E12" s="185"/>
      <c r="F12" s="185"/>
      <c r="G12" s="186"/>
    </row>
    <row r="13" spans="1:7" x14ac:dyDescent="0.25">
      <c r="A13" s="187" t="s">
        <v>101</v>
      </c>
      <c r="B13" s="188"/>
      <c r="C13" s="189" t="s">
        <v>104</v>
      </c>
      <c r="D13" s="190"/>
      <c r="E13" s="190"/>
      <c r="F13" s="190"/>
      <c r="G13" s="191"/>
    </row>
    <row r="14" spans="1:7" x14ac:dyDescent="0.25">
      <c r="A14" s="180" t="s">
        <v>102</v>
      </c>
      <c r="B14" s="181"/>
      <c r="C14" s="192" t="s">
        <v>105</v>
      </c>
      <c r="D14" s="193"/>
      <c r="E14" s="193"/>
      <c r="F14" s="193"/>
      <c r="G14" s="194"/>
    </row>
    <row r="15" spans="1:7" x14ac:dyDescent="0.25">
      <c r="A15" s="175" t="s">
        <v>14</v>
      </c>
      <c r="B15" s="176"/>
      <c r="C15" s="177" t="s">
        <v>106</v>
      </c>
      <c r="D15" s="178"/>
      <c r="E15" s="178"/>
      <c r="F15" s="178"/>
      <c r="G15" s="179"/>
    </row>
    <row r="16" spans="1:7" x14ac:dyDescent="0.25">
      <c r="A16" s="180"/>
      <c r="B16" s="181"/>
      <c r="C16" s="177" t="s">
        <v>107</v>
      </c>
      <c r="D16" s="178"/>
      <c r="E16" s="178"/>
      <c r="F16" s="178"/>
      <c r="G16" s="179"/>
    </row>
    <row r="17" spans="1:7" ht="26.4" x14ac:dyDescent="0.25">
      <c r="A17" s="40" t="s">
        <v>26</v>
      </c>
      <c r="B17" s="49" t="s">
        <v>27</v>
      </c>
      <c r="C17" s="169" t="s">
        <v>31</v>
      </c>
      <c r="D17" s="170"/>
      <c r="E17" s="170"/>
      <c r="F17" s="170"/>
      <c r="G17" s="171"/>
    </row>
    <row r="18" spans="1:7" ht="44.25" customHeight="1" x14ac:dyDescent="0.25">
      <c r="A18" s="41" t="s">
        <v>30</v>
      </c>
      <c r="B18" s="50" t="s">
        <v>50</v>
      </c>
      <c r="C18" s="172" t="s">
        <v>100</v>
      </c>
      <c r="D18" s="173"/>
      <c r="E18" s="173"/>
      <c r="F18" s="173"/>
      <c r="G18" s="174"/>
    </row>
    <row r="19" spans="1:7" x14ac:dyDescent="0.25">
      <c r="A19" s="42" t="s">
        <v>28</v>
      </c>
      <c r="B19" s="43" t="s">
        <v>29</v>
      </c>
      <c r="C19" s="139" t="s">
        <v>88</v>
      </c>
      <c r="D19" s="140"/>
      <c r="E19" s="140"/>
      <c r="F19" s="140"/>
      <c r="G19" s="141"/>
    </row>
    <row r="20" spans="1:7" x14ac:dyDescent="0.25">
      <c r="A20" s="41" t="s">
        <v>6</v>
      </c>
      <c r="B20" s="78" t="s">
        <v>44</v>
      </c>
      <c r="C20" s="142" t="s">
        <v>14</v>
      </c>
      <c r="D20" s="143"/>
      <c r="E20" s="143"/>
      <c r="F20" s="143"/>
      <c r="G20" s="144"/>
    </row>
    <row r="21" spans="1:7" x14ac:dyDescent="0.25">
      <c r="A21" s="88" t="s">
        <v>32</v>
      </c>
      <c r="B21" s="89"/>
      <c r="C21" s="82" t="s">
        <v>90</v>
      </c>
      <c r="D21" s="83"/>
      <c r="E21" s="83"/>
      <c r="F21" s="83"/>
      <c r="G21" s="84"/>
    </row>
    <row r="22" spans="1:7" x14ac:dyDescent="0.25">
      <c r="A22" s="90" t="s">
        <v>49</v>
      </c>
      <c r="B22" s="91"/>
      <c r="C22" s="85" t="s">
        <v>91</v>
      </c>
      <c r="D22" s="86"/>
      <c r="E22" s="86"/>
      <c r="F22" s="86"/>
      <c r="G22" s="87"/>
    </row>
    <row r="23" spans="1:7" x14ac:dyDescent="0.25">
      <c r="A23" s="90"/>
      <c r="B23" s="91"/>
      <c r="C23" s="142"/>
      <c r="D23" s="143"/>
      <c r="E23" s="143"/>
      <c r="F23" s="143"/>
      <c r="G23" s="144"/>
    </row>
    <row r="24" spans="1:7" x14ac:dyDescent="0.25">
      <c r="A24" s="165"/>
      <c r="B24" s="166"/>
      <c r="C24" s="96" t="s">
        <v>97</v>
      </c>
      <c r="D24" s="97"/>
      <c r="E24" s="97"/>
      <c r="F24" s="97"/>
      <c r="G24" s="98"/>
    </row>
    <row r="25" spans="1:7" x14ac:dyDescent="0.25">
      <c r="A25" s="92" t="s">
        <v>7</v>
      </c>
      <c r="B25" s="94" t="s">
        <v>8</v>
      </c>
      <c r="C25" s="145" t="s">
        <v>9</v>
      </c>
      <c r="D25" s="146"/>
      <c r="E25" s="28" t="s">
        <v>10</v>
      </c>
      <c r="F25" s="28" t="s">
        <v>11</v>
      </c>
      <c r="G25" s="29" t="s">
        <v>12</v>
      </c>
    </row>
    <row r="26" spans="1:7" x14ac:dyDescent="0.25">
      <c r="A26" s="93"/>
      <c r="B26" s="95"/>
      <c r="C26" s="147"/>
      <c r="D26" s="148"/>
      <c r="E26" s="3" t="s">
        <v>13</v>
      </c>
      <c r="F26" s="3" t="s">
        <v>47</v>
      </c>
      <c r="G26" s="6" t="s">
        <v>48</v>
      </c>
    </row>
    <row r="27" spans="1:7" ht="14.25" customHeight="1" x14ac:dyDescent="0.25">
      <c r="A27" s="92" t="s">
        <v>46</v>
      </c>
      <c r="B27" s="31"/>
      <c r="C27" s="152"/>
      <c r="D27" s="153"/>
      <c r="E27" s="28"/>
      <c r="F27" s="28"/>
      <c r="G27" s="29"/>
    </row>
    <row r="28" spans="1:7" ht="31.5" customHeight="1" x14ac:dyDescent="0.25">
      <c r="A28" s="102"/>
      <c r="B28" s="80" t="s">
        <v>89</v>
      </c>
      <c r="C28" s="150" t="s">
        <v>85</v>
      </c>
      <c r="D28" s="151"/>
      <c r="E28" s="32"/>
      <c r="F28" s="33"/>
      <c r="G28" s="34"/>
    </row>
    <row r="29" spans="1:7" x14ac:dyDescent="0.25">
      <c r="A29" s="102"/>
      <c r="B29" s="35"/>
      <c r="C29" s="150" t="s">
        <v>81</v>
      </c>
      <c r="D29" s="151"/>
      <c r="E29" s="32">
        <f>'Packing List'!G39</f>
        <v>41.93</v>
      </c>
      <c r="F29" s="33" t="s">
        <v>109</v>
      </c>
      <c r="G29" s="34" t="e">
        <f>E29*F29</f>
        <v>#VALUE!</v>
      </c>
    </row>
    <row r="30" spans="1:7" ht="6.75" customHeight="1" x14ac:dyDescent="0.25">
      <c r="A30" s="7"/>
      <c r="B30" s="53" t="s">
        <v>14</v>
      </c>
      <c r="C30" s="167"/>
      <c r="D30" s="168"/>
      <c r="E30" s="36"/>
      <c r="F30" s="36"/>
      <c r="G30" s="8"/>
    </row>
    <row r="31" spans="1:7" x14ac:dyDescent="0.25">
      <c r="A31" s="7"/>
      <c r="B31" s="103" t="s">
        <v>110</v>
      </c>
      <c r="C31" s="104"/>
      <c r="D31" s="105"/>
      <c r="E31" s="51"/>
      <c r="F31" s="36"/>
      <c r="G31" s="8"/>
    </row>
    <row r="32" spans="1:7" x14ac:dyDescent="0.25">
      <c r="A32" s="7"/>
      <c r="B32" s="106" t="s">
        <v>52</v>
      </c>
      <c r="C32" s="107"/>
      <c r="D32" s="108"/>
      <c r="E32" s="51"/>
      <c r="F32" s="36"/>
      <c r="G32" s="8"/>
    </row>
    <row r="33" spans="1:7" x14ac:dyDescent="0.25">
      <c r="A33" s="7"/>
      <c r="B33" s="109" t="s">
        <v>82</v>
      </c>
      <c r="C33" s="110"/>
      <c r="D33" s="111"/>
      <c r="E33" s="51"/>
      <c r="F33" s="36"/>
      <c r="G33" s="8"/>
    </row>
    <row r="34" spans="1:7" x14ac:dyDescent="0.25">
      <c r="A34" s="37"/>
      <c r="B34" s="106" t="s">
        <v>83</v>
      </c>
      <c r="C34" s="107"/>
      <c r="D34" s="108"/>
      <c r="E34" s="51"/>
      <c r="F34" s="36"/>
      <c r="G34" s="8"/>
    </row>
    <row r="35" spans="1:7" ht="30" customHeight="1" x14ac:dyDescent="0.25">
      <c r="A35" s="37"/>
      <c r="B35" s="99" t="s">
        <v>53</v>
      </c>
      <c r="C35" s="100"/>
      <c r="D35" s="101"/>
      <c r="E35" s="52"/>
      <c r="F35" s="38"/>
      <c r="G35" s="22"/>
    </row>
    <row r="36" spans="1:7" ht="7.5" customHeight="1" x14ac:dyDescent="0.25">
      <c r="A36" s="37"/>
      <c r="B36" s="99"/>
      <c r="C36" s="100"/>
      <c r="D36" s="101"/>
      <c r="E36" s="76"/>
      <c r="F36" s="39"/>
      <c r="G36" s="23"/>
    </row>
    <row r="37" spans="1:7" x14ac:dyDescent="0.25">
      <c r="A37" s="37"/>
      <c r="B37" s="118" t="s">
        <v>79</v>
      </c>
      <c r="C37" s="119"/>
      <c r="D37" s="120"/>
      <c r="E37" s="26"/>
      <c r="F37" s="2"/>
      <c r="G37" s="23"/>
    </row>
    <row r="38" spans="1:7" ht="15.75" customHeight="1" x14ac:dyDescent="0.25">
      <c r="A38" s="159" t="s">
        <v>103</v>
      </c>
      <c r="B38" s="160"/>
      <c r="C38" s="161"/>
      <c r="D38" s="58"/>
      <c r="E38" s="26"/>
      <c r="F38" s="2"/>
      <c r="G38" s="23"/>
    </row>
    <row r="39" spans="1:7" ht="15" x14ac:dyDescent="0.25">
      <c r="A39" s="162"/>
      <c r="B39" s="163"/>
      <c r="C39" s="164"/>
      <c r="D39" s="127" t="s">
        <v>54</v>
      </c>
      <c r="E39" s="128"/>
      <c r="F39" s="30"/>
      <c r="G39" s="9" t="e">
        <f>SUM(G28:G38)</f>
        <v>#VALUE!</v>
      </c>
    </row>
    <row r="40" spans="1:7" ht="15" x14ac:dyDescent="0.25">
      <c r="A40" s="48" t="s">
        <v>80</v>
      </c>
      <c r="B40" s="44"/>
      <c r="C40" s="27"/>
      <c r="D40" s="129" t="s">
        <v>55</v>
      </c>
      <c r="E40" s="130"/>
      <c r="F40" s="30"/>
      <c r="G40" s="9">
        <v>0</v>
      </c>
    </row>
    <row r="41" spans="1:7" ht="15.75" customHeight="1" x14ac:dyDescent="0.25">
      <c r="A41" s="45" t="s">
        <v>58</v>
      </c>
      <c r="B41" s="156" t="s">
        <v>64</v>
      </c>
      <c r="C41" s="157"/>
      <c r="D41" s="129" t="s">
        <v>56</v>
      </c>
      <c r="E41" s="130"/>
      <c r="F41" s="30"/>
      <c r="G41" s="9">
        <v>0</v>
      </c>
    </row>
    <row r="42" spans="1:7" ht="15.75" customHeight="1" x14ac:dyDescent="0.25">
      <c r="A42" s="47" t="s">
        <v>59</v>
      </c>
      <c r="B42" s="155" t="s">
        <v>41</v>
      </c>
      <c r="C42" s="158"/>
      <c r="D42" s="137" t="s">
        <v>57</v>
      </c>
      <c r="E42" s="138"/>
      <c r="F42" s="30"/>
      <c r="G42" s="75" t="e">
        <f>G39-G40-G41</f>
        <v>#VALUE!</v>
      </c>
    </row>
    <row r="43" spans="1:7" ht="15.75" customHeight="1" x14ac:dyDescent="0.25">
      <c r="A43" s="47" t="s">
        <v>60</v>
      </c>
      <c r="B43" s="155" t="s">
        <v>40</v>
      </c>
      <c r="C43" s="155"/>
      <c r="D43" s="131" t="s">
        <v>65</v>
      </c>
      <c r="E43" s="132"/>
      <c r="F43" s="132"/>
      <c r="G43" s="133"/>
    </row>
    <row r="44" spans="1:7" ht="15.75" customHeight="1" x14ac:dyDescent="0.25">
      <c r="A44" s="47" t="s">
        <v>61</v>
      </c>
      <c r="B44" s="155" t="s">
        <v>66</v>
      </c>
      <c r="C44" s="155"/>
      <c r="D44" s="134"/>
      <c r="E44" s="135"/>
      <c r="F44" s="135"/>
      <c r="G44" s="136"/>
    </row>
    <row r="45" spans="1:7" ht="15" x14ac:dyDescent="0.25">
      <c r="A45" s="47" t="s">
        <v>62</v>
      </c>
      <c r="B45" s="154" t="s">
        <v>42</v>
      </c>
      <c r="C45" s="154"/>
      <c r="D45" s="121"/>
      <c r="E45" s="122"/>
      <c r="F45" s="122"/>
      <c r="G45" s="123"/>
    </row>
    <row r="46" spans="1:7" ht="15" x14ac:dyDescent="0.25">
      <c r="A46" s="46" t="s">
        <v>63</v>
      </c>
      <c r="B46" s="149" t="s">
        <v>43</v>
      </c>
      <c r="C46" s="149"/>
      <c r="D46" s="121"/>
      <c r="E46" s="122"/>
      <c r="F46" s="122"/>
      <c r="G46" s="123"/>
    </row>
    <row r="47" spans="1:7" ht="15" x14ac:dyDescent="0.25">
      <c r="A47" s="112" t="s">
        <v>73</v>
      </c>
      <c r="B47" s="113"/>
      <c r="C47" s="114"/>
      <c r="D47" s="121"/>
      <c r="E47" s="122"/>
      <c r="F47" s="122"/>
      <c r="G47" s="123"/>
    </row>
    <row r="48" spans="1:7" ht="15.75" customHeight="1" thickBot="1" x14ac:dyDescent="0.3">
      <c r="A48" s="115" t="s">
        <v>72</v>
      </c>
      <c r="B48" s="116"/>
      <c r="C48" s="117"/>
      <c r="D48" s="124" t="s">
        <v>15</v>
      </c>
      <c r="E48" s="125"/>
      <c r="F48" s="125"/>
      <c r="G48" s="126"/>
    </row>
  </sheetData>
  <mergeCells count="73">
    <mergeCell ref="A1:G1"/>
    <mergeCell ref="E2:G2"/>
    <mergeCell ref="C4:D4"/>
    <mergeCell ref="E4:G4"/>
    <mergeCell ref="C5:D5"/>
    <mergeCell ref="E5:G5"/>
    <mergeCell ref="A3:G3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C17:G17"/>
    <mergeCell ref="C18:G18"/>
    <mergeCell ref="A15:B15"/>
    <mergeCell ref="C15:G15"/>
    <mergeCell ref="A16:B16"/>
    <mergeCell ref="C16:G16"/>
    <mergeCell ref="C19:G19"/>
    <mergeCell ref="C20:G20"/>
    <mergeCell ref="C23:G23"/>
    <mergeCell ref="C25:D26"/>
    <mergeCell ref="B46:C46"/>
    <mergeCell ref="C28:D28"/>
    <mergeCell ref="C27:D27"/>
    <mergeCell ref="C29:D29"/>
    <mergeCell ref="B45:C45"/>
    <mergeCell ref="B43:C43"/>
    <mergeCell ref="B41:C41"/>
    <mergeCell ref="B42:C42"/>
    <mergeCell ref="B44:C44"/>
    <mergeCell ref="A38:C39"/>
    <mergeCell ref="A24:B24"/>
    <mergeCell ref="C30:D30"/>
    <mergeCell ref="A47:C47"/>
    <mergeCell ref="A48:C48"/>
    <mergeCell ref="B37:D37"/>
    <mergeCell ref="D47:G47"/>
    <mergeCell ref="D48:G48"/>
    <mergeCell ref="D39:E39"/>
    <mergeCell ref="D40:E40"/>
    <mergeCell ref="D41:E41"/>
    <mergeCell ref="D43:G44"/>
    <mergeCell ref="D42:E42"/>
    <mergeCell ref="D45:G45"/>
    <mergeCell ref="D46:G46"/>
    <mergeCell ref="B35:D35"/>
    <mergeCell ref="B36:D36"/>
    <mergeCell ref="A27:A29"/>
    <mergeCell ref="B31:D31"/>
    <mergeCell ref="B32:D32"/>
    <mergeCell ref="B33:D33"/>
    <mergeCell ref="B34:D34"/>
    <mergeCell ref="C21:G21"/>
    <mergeCell ref="C22:G22"/>
    <mergeCell ref="A21:B21"/>
    <mergeCell ref="A22:B23"/>
    <mergeCell ref="A25:A26"/>
    <mergeCell ref="B25:B26"/>
    <mergeCell ref="C24:G24"/>
  </mergeCells>
  <pageMargins left="3.9370078740157501E-2" right="3.9370078740157501E-2" top="1.69291338582677" bottom="0.31496062992126" header="7.8740157480315001E-2" footer="7.8740157480315001E-2"/>
  <pageSetup paperSize="9" scale="90" orientation="portrait" r:id="rId1"/>
  <ignoredErrors>
    <ignoredError sqref="B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A15" sqref="A15:B15"/>
    </sheetView>
  </sheetViews>
  <sheetFormatPr defaultRowHeight="13.8" x14ac:dyDescent="0.25"/>
  <cols>
    <col min="1" max="1" width="22" customWidth="1"/>
    <col min="2" max="2" width="23.09765625" customWidth="1"/>
    <col min="3" max="3" width="9.3984375" customWidth="1"/>
    <col min="4" max="4" width="13.8984375" bestFit="1" customWidth="1"/>
    <col min="5" max="5" width="11.19921875" customWidth="1"/>
    <col min="6" max="6" width="12.09765625" customWidth="1"/>
    <col min="7" max="7" width="10" customWidth="1"/>
  </cols>
  <sheetData>
    <row r="1" spans="1:13" ht="35.4" thickBot="1" x14ac:dyDescent="0.3">
      <c r="A1" s="280" t="s">
        <v>34</v>
      </c>
      <c r="B1" s="280"/>
      <c r="C1" s="280"/>
      <c r="D1" s="280"/>
      <c r="E1" s="280"/>
      <c r="F1" s="280"/>
      <c r="G1" s="280"/>
    </row>
    <row r="2" spans="1:13" ht="18" thickBot="1" x14ac:dyDescent="0.3">
      <c r="A2" s="10" t="s">
        <v>14</v>
      </c>
      <c r="B2" s="1"/>
      <c r="C2" s="1"/>
      <c r="D2" s="1"/>
      <c r="E2" s="231" t="s">
        <v>75</v>
      </c>
      <c r="F2" s="232"/>
      <c r="G2" s="233"/>
      <c r="K2" s="231" t="s">
        <v>75</v>
      </c>
      <c r="L2" s="232"/>
      <c r="M2" s="233"/>
    </row>
    <row r="3" spans="1:13" ht="14.4" thickBot="1" x14ac:dyDescent="0.3">
      <c r="A3" s="226" t="s">
        <v>67</v>
      </c>
      <c r="B3" s="226"/>
      <c r="C3" s="226"/>
      <c r="D3" s="226"/>
      <c r="E3" s="226"/>
      <c r="F3" s="226"/>
      <c r="G3" s="227"/>
    </row>
    <row r="4" spans="1:13" ht="16.8" x14ac:dyDescent="0.3">
      <c r="A4" s="4" t="s">
        <v>0</v>
      </c>
      <c r="B4" s="77" t="s">
        <v>1</v>
      </c>
      <c r="C4" s="285" t="s">
        <v>68</v>
      </c>
      <c r="D4" s="286"/>
      <c r="E4" s="287"/>
      <c r="F4" s="281" t="s">
        <v>3</v>
      </c>
      <c r="G4" s="282"/>
    </row>
    <row r="5" spans="1:13" ht="16.8" x14ac:dyDescent="0.3">
      <c r="A5" s="5" t="s">
        <v>4</v>
      </c>
      <c r="B5" s="79" t="s">
        <v>5</v>
      </c>
      <c r="C5" s="288" t="s">
        <v>98</v>
      </c>
      <c r="D5" s="289"/>
      <c r="E5" s="290"/>
      <c r="F5" s="283" t="s">
        <v>114</v>
      </c>
      <c r="G5" s="284"/>
    </row>
    <row r="6" spans="1:13" ht="15" x14ac:dyDescent="0.25">
      <c r="A6" s="182" t="s">
        <v>16</v>
      </c>
      <c r="B6" s="185"/>
      <c r="C6" s="205" t="s">
        <v>19</v>
      </c>
      <c r="D6" s="206"/>
      <c r="E6" s="206"/>
      <c r="F6" s="206"/>
      <c r="G6" s="207"/>
    </row>
    <row r="7" spans="1:13" ht="15" x14ac:dyDescent="0.25">
      <c r="A7" s="208" t="s">
        <v>17</v>
      </c>
      <c r="B7" s="209"/>
      <c r="C7" s="210" t="s">
        <v>108</v>
      </c>
      <c r="D7" s="211"/>
      <c r="E7" s="211"/>
      <c r="F7" s="211"/>
      <c r="G7" s="212"/>
      <c r="H7" s="25"/>
      <c r="I7" s="24"/>
    </row>
    <row r="8" spans="1:13" x14ac:dyDescent="0.25">
      <c r="A8" s="195" t="s">
        <v>18</v>
      </c>
      <c r="B8" s="110"/>
      <c r="C8" s="202"/>
      <c r="D8" s="203"/>
      <c r="E8" s="203"/>
      <c r="F8" s="203"/>
      <c r="G8" s="204"/>
    </row>
    <row r="9" spans="1:13" ht="15" x14ac:dyDescent="0.25">
      <c r="A9" s="195" t="s">
        <v>20</v>
      </c>
      <c r="B9" s="111"/>
      <c r="C9" s="196" t="s">
        <v>22</v>
      </c>
      <c r="D9" s="197"/>
      <c r="E9" s="197"/>
      <c r="F9" s="197"/>
      <c r="G9" s="198"/>
    </row>
    <row r="10" spans="1:13" ht="15" x14ac:dyDescent="0.25">
      <c r="A10" s="195" t="s">
        <v>21</v>
      </c>
      <c r="B10" s="111"/>
      <c r="C10" s="199" t="s">
        <v>96</v>
      </c>
      <c r="D10" s="200"/>
      <c r="E10" s="200"/>
      <c r="F10" s="200"/>
      <c r="G10" s="201"/>
    </row>
    <row r="11" spans="1:13" x14ac:dyDescent="0.25">
      <c r="A11" s="195" t="s">
        <v>23</v>
      </c>
      <c r="B11" s="111"/>
      <c r="C11" s="202"/>
      <c r="D11" s="203"/>
      <c r="E11" s="203"/>
      <c r="F11" s="203"/>
      <c r="G11" s="204"/>
    </row>
    <row r="12" spans="1:13" x14ac:dyDescent="0.25">
      <c r="A12" s="182" t="s">
        <v>24</v>
      </c>
      <c r="B12" s="183"/>
      <c r="C12" s="184" t="s">
        <v>25</v>
      </c>
      <c r="D12" s="185"/>
      <c r="E12" s="185"/>
      <c r="F12" s="185"/>
      <c r="G12" s="186"/>
    </row>
    <row r="13" spans="1:13" ht="16.5" customHeight="1" x14ac:dyDescent="0.25">
      <c r="A13" s="187" t="str">
        <f>'Tax Invoice'!A13:B13</f>
        <v>{{CONSIGNEE}}</v>
      </c>
      <c r="B13" s="188"/>
      <c r="C13" s="189" t="str">
        <f>'Tax Invoice'!C13:G13</f>
        <v>{{NOTIFY_APPLICANT}}</v>
      </c>
      <c r="D13" s="190"/>
      <c r="E13" s="190"/>
      <c r="F13" s="190"/>
      <c r="G13" s="191"/>
    </row>
    <row r="14" spans="1:13" ht="15.75" customHeight="1" x14ac:dyDescent="0.25">
      <c r="A14" s="180" t="str">
        <f>'Tax Invoice'!A14:B14</f>
        <v>{{CONSIGNEE_ADDRESS}}</v>
      </c>
      <c r="B14" s="181"/>
      <c r="C14" s="192" t="str">
        <f>'Tax Invoice'!C14:G14</f>
        <v>{{NOTIFY_APPLICANT_ADDRESS}}</v>
      </c>
      <c r="D14" s="193"/>
      <c r="E14" s="193"/>
      <c r="F14" s="193"/>
      <c r="G14" s="194"/>
    </row>
    <row r="15" spans="1:13" ht="15.75" customHeight="1" x14ac:dyDescent="0.25">
      <c r="A15" s="175" t="s">
        <v>14</v>
      </c>
      <c r="B15" s="176"/>
      <c r="C15" s="177" t="str">
        <f>'Tax Invoice'!C15:G15</f>
        <v>PAN NO: {{PAN_NO}}</v>
      </c>
      <c r="D15" s="178"/>
      <c r="E15" s="178"/>
      <c r="F15" s="178"/>
      <c r="G15" s="179"/>
    </row>
    <row r="16" spans="1:13" ht="15.75" customHeight="1" x14ac:dyDescent="0.25">
      <c r="A16" s="180"/>
      <c r="B16" s="181"/>
      <c r="C16" s="177" t="str">
        <f>'Tax Invoice'!C16:G16</f>
        <v>EXIM CODE : {{EXIM_CODE}}</v>
      </c>
      <c r="D16" s="178"/>
      <c r="E16" s="178"/>
      <c r="F16" s="178"/>
      <c r="G16" s="179"/>
    </row>
    <row r="17" spans="1:7" ht="26.4" x14ac:dyDescent="0.25">
      <c r="A17" s="71" t="s">
        <v>26</v>
      </c>
      <c r="B17" s="49" t="s">
        <v>27</v>
      </c>
      <c r="C17" s="169" t="s">
        <v>31</v>
      </c>
      <c r="D17" s="170"/>
      <c r="E17" s="170"/>
      <c r="F17" s="170"/>
      <c r="G17" s="171"/>
    </row>
    <row r="18" spans="1:7" ht="42.75" customHeight="1" x14ac:dyDescent="0.25">
      <c r="A18" s="41" t="s">
        <v>30</v>
      </c>
      <c r="B18" s="50" t="s">
        <v>50</v>
      </c>
      <c r="C18" s="172" t="s">
        <v>84</v>
      </c>
      <c r="D18" s="173"/>
      <c r="E18" s="173"/>
      <c r="F18" s="173"/>
      <c r="G18" s="174"/>
    </row>
    <row r="19" spans="1:7" x14ac:dyDescent="0.25">
      <c r="A19" s="72" t="s">
        <v>28</v>
      </c>
      <c r="B19" s="73" t="s">
        <v>29</v>
      </c>
      <c r="C19" s="274" t="s">
        <v>32</v>
      </c>
      <c r="D19" s="275"/>
      <c r="E19" s="275"/>
      <c r="F19" s="275"/>
      <c r="G19" s="276"/>
    </row>
    <row r="20" spans="1:7" ht="14.25" customHeight="1" x14ac:dyDescent="0.25">
      <c r="A20" s="41" t="s">
        <v>6</v>
      </c>
      <c r="B20" s="78" t="s">
        <v>44</v>
      </c>
      <c r="C20" s="247" t="s">
        <v>49</v>
      </c>
      <c r="D20" s="248"/>
      <c r="E20" s="248"/>
      <c r="F20" s="248"/>
      <c r="G20" s="249"/>
    </row>
    <row r="21" spans="1:7" ht="18.75" customHeight="1" x14ac:dyDescent="0.25">
      <c r="A21" s="235" t="s">
        <v>9</v>
      </c>
      <c r="B21" s="236"/>
      <c r="C21" s="236"/>
      <c r="D21" s="239" t="s">
        <v>71</v>
      </c>
      <c r="E21" s="250" t="s">
        <v>69</v>
      </c>
      <c r="F21" s="241" t="s">
        <v>70</v>
      </c>
      <c r="G21" s="252" t="s">
        <v>74</v>
      </c>
    </row>
    <row r="22" spans="1:7" ht="20.25" customHeight="1" x14ac:dyDescent="0.25">
      <c r="A22" s="237"/>
      <c r="B22" s="238"/>
      <c r="C22" s="238"/>
      <c r="D22" s="240"/>
      <c r="E22" s="251"/>
      <c r="F22" s="242"/>
      <c r="G22" s="253"/>
    </row>
    <row r="23" spans="1:7" ht="15" x14ac:dyDescent="0.25">
      <c r="A23" s="56"/>
      <c r="B23" s="57"/>
      <c r="C23" s="57"/>
      <c r="D23" s="60"/>
      <c r="E23" s="60"/>
      <c r="F23" s="55"/>
      <c r="G23" s="67"/>
    </row>
    <row r="24" spans="1:7" ht="16.5" customHeight="1" x14ac:dyDescent="0.3">
      <c r="A24" s="272" t="s">
        <v>85</v>
      </c>
      <c r="B24" s="273"/>
      <c r="C24" s="273"/>
      <c r="D24" s="61"/>
      <c r="E24" s="61"/>
      <c r="F24" s="59"/>
      <c r="G24" s="68"/>
    </row>
    <row r="25" spans="1:7" ht="30" x14ac:dyDescent="0.25">
      <c r="A25" s="272" t="s">
        <v>81</v>
      </c>
      <c r="B25" s="273"/>
      <c r="C25" s="273"/>
      <c r="D25" s="66" t="s">
        <v>111</v>
      </c>
      <c r="E25" s="66" t="s">
        <v>112</v>
      </c>
      <c r="F25" s="65" t="s">
        <v>93</v>
      </c>
      <c r="G25" s="69" t="s">
        <v>113</v>
      </c>
    </row>
    <row r="26" spans="1:7" ht="16.8" x14ac:dyDescent="0.3">
      <c r="A26" s="243" t="s">
        <v>86</v>
      </c>
      <c r="B26" s="244"/>
      <c r="C26" s="244"/>
      <c r="D26" s="62"/>
      <c r="E26" s="62"/>
      <c r="F26" s="54" t="s">
        <v>14</v>
      </c>
      <c r="G26" s="81" t="s">
        <v>94</v>
      </c>
    </row>
    <row r="27" spans="1:7" ht="15" x14ac:dyDescent="0.25">
      <c r="A27" s="245" t="s">
        <v>92</v>
      </c>
      <c r="B27" s="246"/>
      <c r="C27" s="246"/>
      <c r="D27" s="66"/>
      <c r="E27" s="66"/>
      <c r="F27" s="65"/>
      <c r="G27" s="69"/>
    </row>
    <row r="28" spans="1:7" ht="15" x14ac:dyDescent="0.25">
      <c r="A28" s="234"/>
      <c r="B28" s="107"/>
      <c r="C28" s="107"/>
      <c r="D28" s="66" t="s">
        <v>95</v>
      </c>
      <c r="E28" s="66">
        <v>20811</v>
      </c>
      <c r="F28" s="65" t="s">
        <v>93</v>
      </c>
      <c r="G28" s="69">
        <v>41.93</v>
      </c>
    </row>
    <row r="29" spans="1:7" ht="16.8" x14ac:dyDescent="0.3">
      <c r="A29" s="195"/>
      <c r="B29" s="110"/>
      <c r="C29" s="110"/>
      <c r="D29" s="62"/>
      <c r="E29" s="62"/>
      <c r="F29" s="54" t="s">
        <v>14</v>
      </c>
      <c r="G29" s="81" t="s">
        <v>94</v>
      </c>
    </row>
    <row r="30" spans="1:7" ht="16.8" x14ac:dyDescent="0.3">
      <c r="A30" s="234" t="s">
        <v>45</v>
      </c>
      <c r="B30" s="107"/>
      <c r="C30" s="108"/>
      <c r="D30" s="53"/>
      <c r="E30" s="53"/>
      <c r="F30" s="59"/>
      <c r="G30" s="68"/>
    </row>
    <row r="31" spans="1:7" ht="16.5" customHeight="1" x14ac:dyDescent="0.25">
      <c r="A31" s="234" t="s">
        <v>52</v>
      </c>
      <c r="B31" s="107"/>
      <c r="C31" s="108"/>
      <c r="D31" s="66"/>
      <c r="E31" s="66"/>
      <c r="F31" s="65"/>
      <c r="G31" s="69"/>
    </row>
    <row r="32" spans="1:7" ht="16.8" x14ac:dyDescent="0.3">
      <c r="A32" s="195" t="s">
        <v>82</v>
      </c>
      <c r="B32" s="110"/>
      <c r="C32" s="111"/>
      <c r="D32" s="62"/>
      <c r="E32" s="62"/>
      <c r="F32" s="54"/>
      <c r="G32" s="81"/>
    </row>
    <row r="33" spans="1:7" ht="15" x14ac:dyDescent="0.25">
      <c r="A33" s="234" t="s">
        <v>51</v>
      </c>
      <c r="B33" s="107"/>
      <c r="C33" s="108"/>
      <c r="D33" s="66"/>
      <c r="E33" s="66"/>
      <c r="F33" s="65"/>
      <c r="G33" s="69"/>
    </row>
    <row r="34" spans="1:7" ht="16.5" customHeight="1" x14ac:dyDescent="0.3">
      <c r="A34" s="228" t="s">
        <v>77</v>
      </c>
      <c r="B34" s="229"/>
      <c r="C34" s="230"/>
      <c r="D34" s="63"/>
      <c r="E34" s="63"/>
      <c r="F34" s="54"/>
      <c r="G34" s="70"/>
    </row>
    <row r="35" spans="1:7" ht="15" x14ac:dyDescent="0.25">
      <c r="A35" s="228" t="s">
        <v>78</v>
      </c>
      <c r="B35" s="229"/>
      <c r="C35" s="230"/>
      <c r="D35" s="66"/>
      <c r="E35" s="66"/>
      <c r="F35" s="65"/>
      <c r="G35" s="69"/>
    </row>
    <row r="36" spans="1:7" ht="16.8" x14ac:dyDescent="0.3">
      <c r="A36" s="277"/>
      <c r="B36" s="278"/>
      <c r="C36" s="279"/>
      <c r="D36" s="64"/>
      <c r="E36" s="64"/>
      <c r="F36" s="54"/>
      <c r="G36" s="70"/>
    </row>
    <row r="37" spans="1:7" ht="16.8" x14ac:dyDescent="0.3">
      <c r="A37" s="277"/>
      <c r="B37" s="278"/>
      <c r="C37" s="279"/>
      <c r="D37" s="66"/>
      <c r="E37" s="66"/>
      <c r="F37" s="65"/>
      <c r="G37" s="69"/>
    </row>
    <row r="38" spans="1:7" ht="16.8" x14ac:dyDescent="0.3">
      <c r="A38" s="277"/>
      <c r="B38" s="278"/>
      <c r="C38" s="279"/>
      <c r="D38" s="64"/>
      <c r="E38" s="64"/>
      <c r="F38" s="54"/>
      <c r="G38" s="70"/>
    </row>
    <row r="39" spans="1:7" ht="16.8" x14ac:dyDescent="0.3">
      <c r="A39" s="257"/>
      <c r="B39" s="258"/>
      <c r="C39" s="259"/>
      <c r="D39" s="260" t="s">
        <v>76</v>
      </c>
      <c r="E39" s="261"/>
      <c r="F39" s="262"/>
      <c r="G39" s="74">
        <f>SUM(G23:G38)</f>
        <v>41.93</v>
      </c>
    </row>
    <row r="40" spans="1:7" ht="16.8" x14ac:dyDescent="0.25">
      <c r="A40" s="11" t="s">
        <v>35</v>
      </c>
      <c r="B40" s="12"/>
      <c r="C40" s="12"/>
      <c r="D40" s="13"/>
      <c r="E40" s="263" t="s">
        <v>65</v>
      </c>
      <c r="F40" s="264"/>
      <c r="G40" s="265"/>
    </row>
    <row r="41" spans="1:7" ht="16.8" x14ac:dyDescent="0.3">
      <c r="A41" s="14" t="s">
        <v>36</v>
      </c>
      <c r="B41" s="15"/>
      <c r="C41" s="15"/>
      <c r="D41" s="16"/>
      <c r="E41" s="266"/>
      <c r="F41" s="267"/>
      <c r="G41" s="268"/>
    </row>
    <row r="42" spans="1:7" ht="16.8" x14ac:dyDescent="0.3">
      <c r="A42" s="14" t="s">
        <v>37</v>
      </c>
      <c r="B42" s="15"/>
      <c r="C42" s="15"/>
      <c r="D42" s="17"/>
      <c r="E42" s="269"/>
      <c r="F42" s="270"/>
      <c r="G42" s="271"/>
    </row>
    <row r="43" spans="1:7" ht="16.8" x14ac:dyDescent="0.3">
      <c r="A43" s="14" t="s">
        <v>38</v>
      </c>
      <c r="B43" s="15"/>
      <c r="C43" s="15"/>
      <c r="D43" s="17"/>
      <c r="E43" s="269"/>
      <c r="F43" s="270"/>
      <c r="G43" s="271"/>
    </row>
    <row r="44" spans="1:7" ht="17.399999999999999" thickBot="1" x14ac:dyDescent="0.35">
      <c r="A44" s="18"/>
      <c r="B44" s="19"/>
      <c r="C44" s="20"/>
      <c r="D44" s="21"/>
      <c r="E44" s="254" t="s">
        <v>39</v>
      </c>
      <c r="F44" s="255"/>
      <c r="G44" s="256"/>
    </row>
  </sheetData>
  <mergeCells count="61">
    <mergeCell ref="A33:C33"/>
    <mergeCell ref="A36:C36"/>
    <mergeCell ref="A37:C37"/>
    <mergeCell ref="A38:C38"/>
    <mergeCell ref="A1:G1"/>
    <mergeCell ref="E2:G2"/>
    <mergeCell ref="F4:G4"/>
    <mergeCell ref="F5:G5"/>
    <mergeCell ref="A6:B6"/>
    <mergeCell ref="C6:G6"/>
    <mergeCell ref="A3:G3"/>
    <mergeCell ref="C4:E4"/>
    <mergeCell ref="C5:E5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E44:G44"/>
    <mergeCell ref="A39:C39"/>
    <mergeCell ref="D39:F39"/>
    <mergeCell ref="E40:G40"/>
    <mergeCell ref="E41:G41"/>
    <mergeCell ref="E42:G42"/>
    <mergeCell ref="E43:G43"/>
    <mergeCell ref="C18:G18"/>
    <mergeCell ref="A13:B13"/>
    <mergeCell ref="A24:C24"/>
    <mergeCell ref="A25:C25"/>
    <mergeCell ref="C19:G19"/>
    <mergeCell ref="C20:G20"/>
    <mergeCell ref="E21:E22"/>
    <mergeCell ref="G21:G22"/>
    <mergeCell ref="C13:G13"/>
    <mergeCell ref="A14:B14"/>
    <mergeCell ref="C14:G14"/>
    <mergeCell ref="A15:B15"/>
    <mergeCell ref="C15:G15"/>
    <mergeCell ref="A34:C34"/>
    <mergeCell ref="A35:C35"/>
    <mergeCell ref="K2:M2"/>
    <mergeCell ref="A31:C31"/>
    <mergeCell ref="A32:C32"/>
    <mergeCell ref="A21:C22"/>
    <mergeCell ref="D21:D22"/>
    <mergeCell ref="F21:F22"/>
    <mergeCell ref="A26:C26"/>
    <mergeCell ref="A27:C27"/>
    <mergeCell ref="A28:C28"/>
    <mergeCell ref="A29:C29"/>
    <mergeCell ref="A30:C30"/>
    <mergeCell ref="A16:B16"/>
    <mergeCell ref="C16:G16"/>
    <mergeCell ref="C17:G17"/>
  </mergeCells>
  <pageMargins left="0.1" right="0.1" top="1.69291338582677" bottom="0.31496062992126" header="0.196850393700787" footer="0.196850393700787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NIKHIL CHANDAK</cp:lastModifiedBy>
  <cp:lastPrinted>2024-06-11T08:23:00Z</cp:lastPrinted>
  <dcterms:created xsi:type="dcterms:W3CDTF">2019-08-08T09:36:26Z</dcterms:created>
  <dcterms:modified xsi:type="dcterms:W3CDTF">2026-03-06T10:06:34Z</dcterms:modified>
</cp:coreProperties>
</file>